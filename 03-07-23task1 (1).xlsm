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PC\Downloads\03-task\03-task\"/>
    </mc:Choice>
  </mc:AlternateContent>
  <xr:revisionPtr revIDLastSave="0" documentId="13_ncr:1_{C2F9103A-9206-4EB6-9D85-A931A8146A5D}" xr6:coauthVersionLast="47" xr6:coauthVersionMax="47" xr10:uidLastSave="{00000000-0000-0000-0000-000000000000}"/>
  <bookViews>
    <workbookView xWindow="-120" yWindow="-120" windowWidth="20730" windowHeight="11160" xr2:uid="{AE14027A-8EBA-4F81-9876-1D460DDBB301}"/>
  </bookViews>
  <sheets>
    <sheet name="Comparison Rate DHOAS" sheetId="1" r:id="rId1"/>
    <sheet name="Informatio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" i="1" l="1"/>
  <c r="N24" i="1"/>
  <c r="H26" i="1"/>
  <c r="C26" i="1"/>
  <c r="M30" i="1"/>
  <c r="H30" i="1"/>
  <c r="C30" i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N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tc={42D78622-814B-4E8B-8414-286E61A681A7}</author>
  </authors>
  <commentList>
    <comment ref="B4" authorId="0" shapeId="0" xr:uid="{42D78622-814B-4E8B-8414-286E61A681A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National weighted average housing price</t>
        </r>
      </text>
    </comment>
  </commentList>
</comments>
</file>

<file path=xl/sharedStrings.xml><?xml version="1.0" encoding="utf-8"?>
<sst xmlns="http://schemas.openxmlformats.org/spreadsheetml/2006/main" count="57" uniqueCount="50">
  <si>
    <t xml:space="preserve">IMPORTANT: Please ensure you have enable macros for this calculator to work </t>
  </si>
  <si>
    <t xml:space="preserve">DHOAS RATE COMPARISON CALCULATOR V 2.0 </t>
  </si>
  <si>
    <t>Loan Detals</t>
  </si>
  <si>
    <t xml:space="preserve">Loan Term </t>
  </si>
  <si>
    <t xml:space="preserve">Fees (annual) </t>
  </si>
  <si>
    <t xml:space="preserve">Fees (closing) </t>
  </si>
  <si>
    <t xml:space="preserve">DHOAS Entitlement </t>
  </si>
  <si>
    <t xml:space="preserve">Year of Subsudy Cert </t>
  </si>
  <si>
    <t xml:space="preserve">Financial Year </t>
  </si>
  <si>
    <t>08/09</t>
  </si>
  <si>
    <t>09/10</t>
  </si>
  <si>
    <t>10/11</t>
  </si>
  <si>
    <t>12/13</t>
  </si>
  <si>
    <t>11/12</t>
  </si>
  <si>
    <t>13/14</t>
  </si>
  <si>
    <t>14/15</t>
  </si>
  <si>
    <t>15/16</t>
  </si>
  <si>
    <t>16/17</t>
  </si>
  <si>
    <t>17/18</t>
  </si>
  <si>
    <t>18/19</t>
  </si>
  <si>
    <t>19/20</t>
  </si>
  <si>
    <t>20/21</t>
  </si>
  <si>
    <t>21/22</t>
  </si>
  <si>
    <t>Comparison Rate</t>
  </si>
  <si>
    <t>Interest Rate</t>
  </si>
  <si>
    <t>Repayment p/m</t>
  </si>
  <si>
    <t>Payment p/m</t>
  </si>
  <si>
    <t>Entitlement</t>
  </si>
  <si>
    <t>Repayment after entitlement</t>
  </si>
  <si>
    <t>Loan Amount</t>
  </si>
  <si>
    <t xml:space="preserve">Applicant(s) Name </t>
  </si>
  <si>
    <t>Industry Standard Comparison Rate (1)</t>
  </si>
  <si>
    <t>Tier One</t>
  </si>
  <si>
    <t xml:space="preserve">Tier Two </t>
  </si>
  <si>
    <t>Tier Three</t>
  </si>
  <si>
    <t xml:space="preserve">Interest Rates, Subsidy tiers and values </t>
  </si>
  <si>
    <t>https://dhoas.gov.au/interest-rate-changes.html</t>
  </si>
  <si>
    <t>22/23</t>
  </si>
  <si>
    <t>NWAHP</t>
  </si>
  <si>
    <t>Are you still serving (2)</t>
  </si>
  <si>
    <t>Median Interest Rate (3)</t>
  </si>
  <si>
    <t>Comparison Rate using DHOAS entitlement (3)</t>
  </si>
  <si>
    <t>Comparison Rate using loan amount (2)</t>
  </si>
  <si>
    <r>
      <rPr>
        <b/>
        <sz val="11"/>
        <color theme="1"/>
        <rFont val="Calibri"/>
        <family val="2"/>
        <scheme val="minor"/>
      </rPr>
      <t xml:space="preserve">Comparision Rate
</t>
    </r>
    <r>
      <rPr>
        <sz val="11"/>
        <color theme="1"/>
        <rFont val="Calibri"/>
        <family val="2"/>
        <scheme val="minor"/>
      </rPr>
      <t xml:space="preserve">
A comparison rate includes the interates as well as certain fee and charges relating to a loan. The aim of the comparison is yo help you indentify the true cost of a loan and compare loans and services offered by financial instituion and mortgage provides. 
</t>
    </r>
    <r>
      <rPr>
        <b/>
        <sz val="11"/>
        <color theme="1"/>
        <rFont val="Calibri"/>
        <family val="2"/>
        <scheme val="minor"/>
      </rPr>
      <t xml:space="preserve">(1) </t>
    </r>
    <r>
      <rPr>
        <sz val="11"/>
        <color theme="1"/>
        <rFont val="Calibri"/>
        <family val="2"/>
        <scheme val="minor"/>
      </rPr>
      <t xml:space="preserve">The industry standard is complete this calculation on a loan size of $150,000 over 25 yeasr for consistance.
</t>
    </r>
    <r>
      <rPr>
        <b/>
        <sz val="11"/>
        <color theme="1"/>
        <rFont val="Calibri"/>
        <family val="2"/>
        <scheme val="minor"/>
      </rPr>
      <t xml:space="preserve">(2) </t>
    </r>
    <r>
      <rPr>
        <sz val="11"/>
        <color theme="1"/>
        <rFont val="Calibri"/>
        <family val="2"/>
        <scheme val="minor"/>
      </rPr>
      <t xml:space="preserve">This figure uses your </t>
    </r>
    <r>
      <rPr>
        <b/>
        <sz val="11"/>
        <color theme="1"/>
        <rFont val="Calibri"/>
        <family val="2"/>
        <scheme val="minor"/>
      </rPr>
      <t xml:space="preserve">actual </t>
    </r>
    <r>
      <rPr>
        <sz val="11"/>
        <color theme="1"/>
        <rFont val="Calibri"/>
        <family val="2"/>
        <scheme val="minor"/>
      </rPr>
      <t xml:space="preserve">loan amount and term to calculate your comparison rate
</t>
    </r>
    <r>
      <rPr>
        <b/>
        <sz val="11"/>
        <color theme="1"/>
        <rFont val="Calibri"/>
        <family val="2"/>
        <scheme val="minor"/>
      </rPr>
      <t>(3)</t>
    </r>
    <r>
      <rPr>
        <sz val="11"/>
        <color theme="1"/>
        <rFont val="Calibri"/>
        <family val="2"/>
        <scheme val="minor"/>
      </rPr>
      <t xml:space="preserve"> Comparison Rate after DHOAS entitlement 
No lender or broker software allows for a comparision rate to be after the DHOAS Subsidy has been included. This calulation uses your loan amount and not the industry standard.
The calculator is a guide to your entitlement and DVA provides current and ex-defence members with thier eligble status and certificate, for more information please visit www.dhoas.gov.au All entitlments must be verified with dhoas.gov.au  
</t>
    </r>
  </si>
  <si>
    <t xml:space="preserve">              DHOAS RATE COMPARISON CALCULATOR </t>
  </si>
  <si>
    <t xml:space="preserve">Vertifiation of figures with a Defence Finance Specialist </t>
  </si>
  <si>
    <t>Icon to Discuss with Defence Finance Mortgage Broker</t>
  </si>
  <si>
    <t>Yes</t>
  </si>
  <si>
    <t>Click Here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</si>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</sst>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#,##0;[Red]#,##0"/>
    <numFmt numFmtId="167" formatCode="#,##0.00;[Red]#,##0.00"/>
  </numFmts>
  <fonts count="12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b/>
      <sz val="11"/>
      <color theme="1"/>
      <name val="Calibri"/>
      <family val="2"/>
      <scheme val="minor"/>
    </font>
    <font>
      <sz val="24"/>
      <color theme="0"/>
      <name val="Bookman Old Style"/>
      <family val="1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222222"/>
      <name val="Arial"/>
      <family val="2"/>
    </font>
    <font>
      <sz val="18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5" fontId="10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1" fillId="0" borderId="0" xfId="0" applyFont="1"/>
    <xf numFmtId="2" fontId="1" fillId="0" borderId="0" xfId="0" applyNumberFormat="1" applyFont="1"/>
    <xf numFmtId="3" fontId="1" fillId="0" borderId="0" xfId="0" applyNumberFormat="1" applyFont="1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wrapText="1"/>
    </xf>
    <xf numFmtId="0" fontId="0" fillId="5" borderId="0" xfId="0" applyFill="1"/>
    <xf numFmtId="0" fontId="8" fillId="0" borderId="0" xfId="0" applyFont="1"/>
    <xf numFmtId="0" fontId="9" fillId="0" borderId="0" xfId="0" applyFont="1"/>
    <xf numFmtId="0" fontId="0" fillId="0" borderId="0" xfId="0" applyAlignment="1">
      <alignment wrapText="1"/>
    </xf>
    <xf numFmtId="0" fontId="11" fillId="0" borderId="0" xfId="2"/>
    <xf numFmtId="0" fontId="0" fillId="4" borderId="9" xfId="0" applyFill="1" applyBorder="1"/>
    <xf numFmtId="49" fontId="0" fillId="0" borderId="9" xfId="0" applyNumberFormat="1" applyBorder="1"/>
    <xf numFmtId="164" fontId="0" fillId="0" borderId="9" xfId="1" applyNumberFormat="1" applyFont="1" applyBorder="1"/>
    <xf numFmtId="164" fontId="0" fillId="0" borderId="10" xfId="1" applyNumberFormat="1" applyFont="1" applyFill="1" applyBorder="1"/>
    <xf numFmtId="0" fontId="0" fillId="4" borderId="5" xfId="0" applyFill="1" applyBorder="1"/>
    <xf numFmtId="49" fontId="0" fillId="4" borderId="0" xfId="0" applyNumberFormat="1" applyFill="1"/>
    <xf numFmtId="38" fontId="0" fillId="4" borderId="5" xfId="0" applyNumberFormat="1" applyFill="1" applyBorder="1"/>
    <xf numFmtId="166" fontId="0" fillId="4" borderId="5" xfId="0" applyNumberFormat="1" applyFill="1" applyBorder="1"/>
    <xf numFmtId="167" fontId="0" fillId="4" borderId="0" xfId="0" applyNumberFormat="1" applyFill="1"/>
    <xf numFmtId="166" fontId="0" fillId="4" borderId="0" xfId="0" applyNumberFormat="1" applyFill="1"/>
    <xf numFmtId="0" fontId="0" fillId="3" borderId="1" xfId="0" applyFill="1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0" fillId="3" borderId="3" xfId="0" applyFill="1" applyBorder="1" applyAlignment="1">
      <alignment vertical="top" wrapText="1"/>
    </xf>
    <xf numFmtId="0" fontId="0" fillId="3" borderId="4" xfId="0" applyFill="1" applyBorder="1" applyAlignment="1">
      <alignment vertical="top" wrapText="1"/>
    </xf>
    <xf numFmtId="0" fontId="0" fillId="3" borderId="0" xfId="0" applyFill="1" applyAlignment="1">
      <alignment vertical="top" wrapText="1"/>
    </xf>
    <xf numFmtId="0" fontId="0" fillId="3" borderId="5" xfId="0" applyFill="1" applyBorder="1" applyAlignment="1">
      <alignment vertical="top" wrapText="1"/>
    </xf>
    <xf numFmtId="0" fontId="0" fillId="3" borderId="6" xfId="0" applyFill="1" applyBorder="1" applyAlignment="1">
      <alignment vertical="top" wrapText="1"/>
    </xf>
    <xf numFmtId="0" fontId="0" fillId="3" borderId="7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4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4" borderId="0" xfId="0" applyFill="1"/>
    <xf numFmtId="0" fontId="0" fillId="4" borderId="5" xfId="0" applyFill="1" applyBorder="1"/>
    <xf numFmtId="1" fontId="0" fillId="4" borderId="0" xfId="0" applyNumberFormat="1" applyFill="1"/>
    <xf numFmtId="1" fontId="0" fillId="4" borderId="5" xfId="0" applyNumberFormat="1" applyFill="1" applyBorder="1"/>
    <xf numFmtId="0" fontId="7" fillId="6" borderId="1" xfId="0" applyFont="1" applyFill="1" applyBorder="1" applyAlignment="1">
      <alignment wrapText="1"/>
    </xf>
    <xf numFmtId="0" fontId="7" fillId="6" borderId="3" xfId="0" applyFont="1" applyFill="1" applyBorder="1" applyAlignment="1">
      <alignment wrapText="1"/>
    </xf>
    <xf numFmtId="0" fontId="7" fillId="6" borderId="4" xfId="0" applyFont="1" applyFill="1" applyBorder="1" applyAlignment="1">
      <alignment wrapText="1"/>
    </xf>
    <xf numFmtId="0" fontId="7" fillId="6" borderId="5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7" fillId="6" borderId="8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7" fillId="4" borderId="3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7" fillId="4" borderId="6" xfId="0" applyFont="1" applyFill="1" applyBorder="1" applyAlignment="1">
      <alignment wrapText="1"/>
    </xf>
    <xf numFmtId="0" fontId="7" fillId="4" borderId="8" xfId="0" applyFont="1" applyFill="1" applyBorder="1" applyAlignment="1">
      <alignment wrapText="1"/>
    </xf>
    <xf numFmtId="0" fontId="0" fillId="0" borderId="0" xfId="0" applyBorder="1"/>
    <xf numFmtId="0" fontId="11" fillId="0" borderId="0" xfId="2" applyBorder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F66"/>
      <color rgb="FF0000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Monthly Repayments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('Comparison Rate DHOAS'!$K$26,'Comparison Rate DHOAS'!$K$28)</c:f>
              <c:strCache>
                <c:ptCount val="2"/>
                <c:pt idx="0">
                  <c:v>Entitlement</c:v>
                </c:pt>
                <c:pt idx="1">
                  <c:v>Repayment after entitlement</c:v>
                </c:pt>
              </c:strCache>
            </c:strRef>
          </c:cat>
          <c:val>
            <c:numRef>
              <c:f>('Comparison Rate DHOAS'!$N$26,'Comparison Rate DHOAS'!$N$28)</c:f>
              <c:numCache>
                <c:formatCode>#,##0;[Red]#,##0</c:formatCode>
                <c:ptCount val="2"/>
                <c:pt idx="0" formatCode="General">
                  <c:v>343258</c:v>
                </c:pt>
                <c:pt idx="1">
                  <c:v>-332146.88888888888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A-4E0C-95CF-798BBE312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hart" Target="../charts/chart1.xml"/><Relationship Id="rId7" Type="http://schemas.openxmlformats.org/officeDocument/2006/relationships/image" Target="../media/image5.svg"/><Relationship Id="rId2" Type="http://schemas.openxmlformats.org/officeDocument/2006/relationships/image" Target="../media/image1.png"/><Relationship Id="rId1" Type="http://schemas.openxmlformats.org/officeDocument/2006/relationships/hyperlink" Target="https://defencefinance.com.au/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image" Target="../media/image3.sv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85725</xdr:rowOff>
    </xdr:from>
    <xdr:to>
      <xdr:col>2</xdr:col>
      <xdr:colOff>786425</xdr:colOff>
      <xdr:row>0</xdr:row>
      <xdr:rowOff>804545</xdr:rowOff>
    </xdr:to>
    <xdr:pic>
      <xdr:nvPicPr>
        <xdr:cNvPr id="2" name="Picture 1" descr="Defence Financ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69899B-744E-4EA1-A5E3-0CC2BB068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85725"/>
          <a:ext cx="1752600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482203</xdr:colOff>
      <xdr:row>19</xdr:row>
      <xdr:rowOff>178594</xdr:rowOff>
    </xdr:from>
    <xdr:to>
      <xdr:col>19</xdr:col>
      <xdr:colOff>440531</xdr:colOff>
      <xdr:row>32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587D6A2-F7F3-32AB-DBEE-135062B73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47627</xdr:colOff>
      <xdr:row>2</xdr:row>
      <xdr:rowOff>119063</xdr:rowOff>
    </xdr:from>
    <xdr:to>
      <xdr:col>12</xdr:col>
      <xdr:colOff>479627</xdr:colOff>
      <xdr:row>4</xdr:row>
      <xdr:rowOff>98625</xdr:rowOff>
    </xdr:to>
    <xdr:pic>
      <xdr:nvPicPr>
        <xdr:cNvPr id="9" name="Graphic 8" descr="Calculator">
          <a:extLst>
            <a:ext uri="{FF2B5EF4-FFF2-40B4-BE49-F238E27FC236}">
              <a16:creationId xmlns:a16="http://schemas.microsoft.com/office/drawing/2014/main" id="{5B14E2B1-F179-D027-EB85-45D024FD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632033" y="12739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35719</xdr:colOff>
      <xdr:row>2</xdr:row>
      <xdr:rowOff>119063</xdr:rowOff>
    </xdr:from>
    <xdr:to>
      <xdr:col>15</xdr:col>
      <xdr:colOff>467719</xdr:colOff>
      <xdr:row>4</xdr:row>
      <xdr:rowOff>98625</xdr:rowOff>
    </xdr:to>
    <xdr:pic macro="[0]!PrintForm">
      <xdr:nvPicPr>
        <xdr:cNvPr id="11" name="Graphic 10" descr="Fax">
          <a:extLst>
            <a:ext uri="{FF2B5EF4-FFF2-40B4-BE49-F238E27FC236}">
              <a16:creationId xmlns:a16="http://schemas.microsoft.com/office/drawing/2014/main" id="{899D7EF6-5B08-5EAD-2AD3-CC5AFEB51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120563" y="12739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416719</xdr:colOff>
      <xdr:row>2</xdr:row>
      <xdr:rowOff>119063</xdr:rowOff>
    </xdr:from>
    <xdr:to>
      <xdr:col>17</xdr:col>
      <xdr:colOff>241501</xdr:colOff>
      <xdr:row>4</xdr:row>
      <xdr:rowOff>98625</xdr:rowOff>
    </xdr:to>
    <xdr:pic macro="[0]!SaveAsPDF">
      <xdr:nvPicPr>
        <xdr:cNvPr id="13" name="Graphic 12" descr="Disk">
          <a:extLst>
            <a:ext uri="{FF2B5EF4-FFF2-40B4-BE49-F238E27FC236}">
              <a16:creationId xmlns:a16="http://schemas.microsoft.com/office/drawing/2014/main" id="{989C9330-C666-E9A5-BC51-156A31A6E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108782" y="12739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857249</xdr:colOff>
      <xdr:row>2</xdr:row>
      <xdr:rowOff>119063</xdr:rowOff>
    </xdr:from>
    <xdr:to>
      <xdr:col>13</xdr:col>
      <xdr:colOff>420092</xdr:colOff>
      <xdr:row>4</xdr:row>
      <xdr:rowOff>98625</xdr:rowOff>
    </xdr:to>
    <xdr:pic macro="[0]!_xludf.clear">
      <xdr:nvPicPr>
        <xdr:cNvPr id="16" name="Graphic 15" descr="Close">
          <a:extLst>
            <a:ext uri="{FF2B5EF4-FFF2-40B4-BE49-F238E27FC236}">
              <a16:creationId xmlns:a16="http://schemas.microsoft.com/office/drawing/2014/main" id="{5FC1417E-21EA-5855-F03F-8BCDC7E0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441655" y="1273969"/>
          <a:ext cx="432000" cy="432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dam Runciman" id="{6D52F128-4BDC-42EC-B321-6BBF71CED95E}" userId="920c90b882996a5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" dT="2023-05-08T01:52:48.64" personId="{6D52F128-4BDC-42EC-B321-6BBF71CED95E}" id="{42D78622-814B-4E8B-8414-286E61A681A7}">
    <text>National weighted average housing price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fencefinance.com.au/book-cal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hoas.gov.au/interest-rate-changes.html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4C0B5-3F13-4E0B-AC4B-DBD1605CB25B}">
  <sheetPr codeName="Sheet1"/>
  <dimension ref="A1:AM46"/>
  <sheetViews>
    <sheetView showGridLines="0" tabSelected="1" topLeftCell="A19" zoomScale="80" zoomScaleNormal="80" workbookViewId="0">
      <selection activeCell="O24" sqref="O24"/>
    </sheetView>
  </sheetViews>
  <sheetFormatPr defaultColWidth="0" defaultRowHeight="15" x14ac:dyDescent="0.25"/>
  <cols>
    <col min="1" max="2" width="9.140625" customWidth="1"/>
    <col min="3" max="3" width="20.42578125" customWidth="1"/>
    <col min="4" max="4" width="10" customWidth="1"/>
    <col min="5" max="6" width="9.140625" customWidth="1"/>
    <col min="7" max="7" width="9.5703125" bestFit="1" customWidth="1"/>
    <col min="8" max="8" width="13" bestFit="1" customWidth="1"/>
    <col min="9" max="9" width="12" customWidth="1"/>
    <col min="10" max="12" width="9.140625" customWidth="1"/>
    <col min="13" max="13" width="13" customWidth="1"/>
    <col min="14" max="14" width="14" customWidth="1"/>
    <col min="15" max="15" width="25.5703125" customWidth="1"/>
    <col min="16" max="20" width="9.140625" customWidth="1"/>
    <col min="21" max="21" width="10" customWidth="1"/>
    <col min="22" max="22" width="9.140625" customWidth="1"/>
    <col min="40" max="16384" width="9.140625" hidden="1"/>
  </cols>
  <sheetData>
    <row r="1" spans="1:22" ht="75.75" customHeight="1" x14ac:dyDescent="0.25">
      <c r="A1" s="1"/>
      <c r="B1" s="1"/>
      <c r="C1" s="1"/>
      <c r="D1" s="45" t="s">
        <v>44</v>
      </c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x14ac:dyDescent="0.25">
      <c r="A2" s="21" t="s">
        <v>0</v>
      </c>
      <c r="B2" s="21"/>
      <c r="C2" s="21"/>
      <c r="D2" s="21"/>
      <c r="E2" s="21"/>
      <c r="F2" s="21"/>
      <c r="G2" s="21"/>
      <c r="H2" s="21"/>
      <c r="P2" s="21" t="s">
        <v>1</v>
      </c>
      <c r="V2" s="20"/>
    </row>
    <row r="4" spans="1:22" ht="21" x14ac:dyDescent="0.35">
      <c r="A4" s="22" t="s">
        <v>30</v>
      </c>
      <c r="B4" s="21"/>
      <c r="C4" s="21"/>
      <c r="D4" s="47"/>
      <c r="E4" s="48"/>
      <c r="F4" s="48"/>
      <c r="G4" s="48"/>
      <c r="H4" s="48"/>
      <c r="I4" s="48"/>
    </row>
    <row r="5" spans="1:22" x14ac:dyDescent="0.25">
      <c r="G5" s="2"/>
    </row>
    <row r="6" spans="1:22" ht="21" x14ac:dyDescent="0.35">
      <c r="A6" s="22" t="s">
        <v>2</v>
      </c>
      <c r="B6" s="16"/>
      <c r="C6" s="16"/>
      <c r="D6" s="16"/>
      <c r="E6" s="16"/>
      <c r="F6" s="16"/>
      <c r="G6" s="17"/>
      <c r="H6" s="22" t="s">
        <v>6</v>
      </c>
      <c r="I6" s="16"/>
    </row>
    <row r="7" spans="1:22" ht="15" customHeight="1" x14ac:dyDescent="0.25"/>
    <row r="8" spans="1:22" x14ac:dyDescent="0.25">
      <c r="A8" s="6"/>
      <c r="B8" s="7"/>
      <c r="C8" s="7"/>
      <c r="D8" s="7"/>
      <c r="E8" s="7"/>
      <c r="F8" s="8"/>
      <c r="G8" s="3"/>
      <c r="H8" s="6"/>
      <c r="I8" s="7"/>
      <c r="J8" s="7"/>
      <c r="K8" s="7"/>
      <c r="L8" s="8"/>
    </row>
    <row r="9" spans="1:22" x14ac:dyDescent="0.25">
      <c r="A9" s="9" t="s">
        <v>29</v>
      </c>
      <c r="D9" s="49">
        <v>400000</v>
      </c>
      <c r="E9" s="49"/>
      <c r="F9" s="50"/>
      <c r="G9" s="4"/>
      <c r="H9" s="9"/>
      <c r="K9" s="14" t="s">
        <v>34</v>
      </c>
      <c r="L9" s="10"/>
    </row>
    <row r="10" spans="1:22" x14ac:dyDescent="0.25">
      <c r="A10" s="9"/>
      <c r="F10" s="10"/>
      <c r="G10" s="5"/>
      <c r="H10" s="9"/>
      <c r="L10" s="10"/>
    </row>
    <row r="11" spans="1:22" x14ac:dyDescent="0.25">
      <c r="A11" s="9" t="s">
        <v>3</v>
      </c>
      <c r="D11" s="51">
        <v>6</v>
      </c>
      <c r="E11" s="51"/>
      <c r="F11" s="52"/>
      <c r="H11" s="9" t="s">
        <v>39</v>
      </c>
      <c r="K11" s="14" t="s">
        <v>47</v>
      </c>
      <c r="L11" s="10"/>
    </row>
    <row r="12" spans="1:22" x14ac:dyDescent="0.25">
      <c r="A12" s="9"/>
      <c r="F12" s="10"/>
      <c r="H12" s="9"/>
      <c r="L12" s="10"/>
      <c r="P12" s="24"/>
    </row>
    <row r="13" spans="1:22" x14ac:dyDescent="0.25">
      <c r="A13" s="9" t="s">
        <v>4</v>
      </c>
      <c r="D13" s="49">
        <v>200</v>
      </c>
      <c r="E13" s="49"/>
      <c r="F13" s="50"/>
      <c r="H13" s="9" t="s">
        <v>40</v>
      </c>
      <c r="K13" s="14">
        <v>6.56</v>
      </c>
      <c r="L13" s="10"/>
    </row>
    <row r="14" spans="1:22" x14ac:dyDescent="0.25">
      <c r="A14" s="9"/>
      <c r="F14" s="10"/>
      <c r="H14" s="9"/>
      <c r="L14" s="10"/>
      <c r="N14" t="s">
        <v>49</v>
      </c>
    </row>
    <row r="15" spans="1:22" x14ac:dyDescent="0.25">
      <c r="A15" s="9" t="s">
        <v>5</v>
      </c>
      <c r="D15" s="49">
        <v>300</v>
      </c>
      <c r="E15" s="49"/>
      <c r="F15" s="50"/>
      <c r="H15" s="9" t="s">
        <v>7</v>
      </c>
      <c r="K15" s="30" t="s">
        <v>10</v>
      </c>
      <c r="L15" s="10"/>
    </row>
    <row r="16" spans="1:22" x14ac:dyDescent="0.25">
      <c r="A16" s="11"/>
      <c r="B16" s="12"/>
      <c r="C16" s="12"/>
      <c r="D16" s="12"/>
      <c r="E16" s="12"/>
      <c r="F16" s="13"/>
      <c r="H16" s="11"/>
      <c r="I16" s="12"/>
      <c r="J16" s="12"/>
      <c r="K16" s="12"/>
      <c r="L16" s="13"/>
    </row>
    <row r="18" spans="1:14" x14ac:dyDescent="0.25">
      <c r="K18" s="44" t="s">
        <v>41</v>
      </c>
      <c r="L18" s="44"/>
      <c r="M18" s="44"/>
      <c r="N18" s="44"/>
    </row>
    <row r="19" spans="1:14" x14ac:dyDescent="0.25">
      <c r="K19" s="44"/>
      <c r="L19" s="44"/>
      <c r="M19" s="44"/>
      <c r="N19" s="44"/>
    </row>
    <row r="20" spans="1:14" x14ac:dyDescent="0.25">
      <c r="A20" s="44" t="s">
        <v>31</v>
      </c>
      <c r="B20" s="44"/>
      <c r="C20" s="44"/>
      <c r="D20" s="44"/>
      <c r="F20" s="44" t="s">
        <v>42</v>
      </c>
      <c r="G20" s="44"/>
      <c r="H20" s="44"/>
      <c r="I20" s="44"/>
    </row>
    <row r="21" spans="1:14" ht="15" customHeight="1" x14ac:dyDescent="0.25">
      <c r="A21" s="44"/>
      <c r="B21" s="44"/>
      <c r="C21" s="44"/>
      <c r="D21" s="44"/>
      <c r="F21" s="44"/>
      <c r="G21" s="44"/>
      <c r="H21" s="44"/>
      <c r="I21" s="44"/>
      <c r="K21" s="6"/>
      <c r="L21" s="7"/>
      <c r="M21" s="7"/>
      <c r="N21" s="18"/>
    </row>
    <row r="22" spans="1:14" x14ac:dyDescent="0.25">
      <c r="K22" s="9" t="s">
        <v>24</v>
      </c>
      <c r="N22" s="29">
        <v>6</v>
      </c>
    </row>
    <row r="23" spans="1:14" x14ac:dyDescent="0.25">
      <c r="A23" s="6"/>
      <c r="B23" s="7"/>
      <c r="C23" s="7"/>
      <c r="D23" s="8"/>
      <c r="F23" s="6"/>
      <c r="G23" s="7"/>
      <c r="H23" s="7"/>
      <c r="I23" s="8"/>
      <c r="K23" s="9"/>
      <c r="N23" s="10"/>
    </row>
    <row r="24" spans="1:14" x14ac:dyDescent="0.25">
      <c r="A24" s="9" t="s">
        <v>24</v>
      </c>
      <c r="C24" s="14">
        <v>5</v>
      </c>
      <c r="D24" s="10"/>
      <c r="F24" s="9" t="s">
        <v>24</v>
      </c>
      <c r="H24" s="14">
        <v>4</v>
      </c>
      <c r="I24" s="10"/>
      <c r="K24" s="9" t="s">
        <v>25</v>
      </c>
      <c r="N24" s="31">
        <f>($D$9/$D$11)/$N$22</f>
        <v>11111.111111111111</v>
      </c>
    </row>
    <row r="25" spans="1:14" x14ac:dyDescent="0.25">
      <c r="A25" s="9"/>
      <c r="D25" s="10"/>
      <c r="F25" s="9"/>
      <c r="I25" s="10"/>
      <c r="K25" s="9"/>
      <c r="N25" s="10"/>
    </row>
    <row r="26" spans="1:14" x14ac:dyDescent="0.25">
      <c r="A26" s="9" t="s">
        <v>26</v>
      </c>
      <c r="C26" s="34">
        <f>($D$9/$D$11)/$C$24</f>
        <v>13333.333333333334</v>
      </c>
      <c r="D26" s="10"/>
      <c r="F26" s="9" t="s">
        <v>25</v>
      </c>
      <c r="H26" s="33">
        <f>($D$9/$D$11)/$H$24</f>
        <v>16666.666666666668</v>
      </c>
      <c r="I26" s="10"/>
      <c r="K26" s="9" t="s">
        <v>27</v>
      </c>
      <c r="N26" s="29">
        <f>IF($K$11 = "Yes", VLOOKUP(K15, Information!$A$4:$E$19, MATCH(K9, Information!$A$4:$E$4, 0), FALSE), VLOOKUP(K15, Information!$A$4:$E$19, 3, FALSE))</f>
        <v>343258</v>
      </c>
    </row>
    <row r="27" spans="1:14" x14ac:dyDescent="0.25">
      <c r="A27" s="9"/>
      <c r="C27" s="14"/>
      <c r="D27" s="10"/>
      <c r="F27" s="9"/>
      <c r="H27" s="14"/>
      <c r="I27" s="10"/>
      <c r="K27" s="9"/>
      <c r="N27" s="10"/>
    </row>
    <row r="28" spans="1:14" x14ac:dyDescent="0.25">
      <c r="A28" s="9"/>
      <c r="D28" s="10"/>
      <c r="F28" s="9"/>
      <c r="I28" s="10"/>
      <c r="K28" s="9" t="s">
        <v>28</v>
      </c>
      <c r="N28" s="32">
        <f>N24 - N26</f>
        <v>-332146.88888888888</v>
      </c>
    </row>
    <row r="29" spans="1:14" x14ac:dyDescent="0.25">
      <c r="A29" s="9"/>
      <c r="D29" s="10"/>
      <c r="F29" s="9"/>
      <c r="I29" s="10"/>
      <c r="K29" s="9"/>
      <c r="N29" s="10"/>
    </row>
    <row r="30" spans="1:14" x14ac:dyDescent="0.25">
      <c r="A30" s="9"/>
      <c r="C30" s="59">
        <f>D9+(D13*D15)/150000*25*C24</f>
        <v>400050</v>
      </c>
      <c r="D30" s="60"/>
      <c r="F30" s="9"/>
      <c r="H30" s="59">
        <f>D9+D13+D15/D11*H24</f>
        <v>400400</v>
      </c>
      <c r="I30" s="60"/>
      <c r="K30" s="19"/>
      <c r="L30" s="23"/>
      <c r="M30" s="53">
        <f>D9+(D13+D15)-N26/D11*N22</f>
        <v>57242</v>
      </c>
      <c r="N30" s="54"/>
    </row>
    <row r="31" spans="1:14" x14ac:dyDescent="0.25">
      <c r="A31" s="9" t="s">
        <v>23</v>
      </c>
      <c r="C31" s="61"/>
      <c r="D31" s="62"/>
      <c r="F31" s="9" t="s">
        <v>23</v>
      </c>
      <c r="H31" s="61"/>
      <c r="I31" s="62"/>
      <c r="K31" s="9" t="s">
        <v>23</v>
      </c>
      <c r="M31" s="55"/>
      <c r="N31" s="56"/>
    </row>
    <row r="32" spans="1:14" x14ac:dyDescent="0.25">
      <c r="A32" s="11"/>
      <c r="B32" s="12"/>
      <c r="C32" s="63"/>
      <c r="D32" s="64"/>
      <c r="F32" s="11"/>
      <c r="G32" s="12"/>
      <c r="H32" s="63"/>
      <c r="I32" s="64"/>
      <c r="K32" s="11"/>
      <c r="L32" s="12"/>
      <c r="M32" s="57"/>
      <c r="N32" s="58"/>
    </row>
    <row r="38" spans="2:15" x14ac:dyDescent="0.25">
      <c r="B38" s="6"/>
      <c r="C38" s="7"/>
      <c r="D38" s="7"/>
      <c r="E38" s="7"/>
      <c r="F38" s="7"/>
      <c r="G38" s="7"/>
      <c r="H38" s="7"/>
      <c r="I38" s="8"/>
      <c r="K38" s="68" t="s">
        <v>45</v>
      </c>
      <c r="L38" s="67"/>
      <c r="M38" s="67"/>
      <c r="N38" s="67"/>
      <c r="O38" s="69"/>
    </row>
    <row r="39" spans="2:15" x14ac:dyDescent="0.25">
      <c r="B39" s="9"/>
      <c r="C39" s="65"/>
      <c r="D39" s="65"/>
      <c r="E39" s="65"/>
      <c r="F39" s="65"/>
      <c r="G39" s="65"/>
      <c r="H39" s="65"/>
      <c r="I39" s="10"/>
      <c r="K39" s="70" t="s">
        <v>46</v>
      </c>
      <c r="L39" s="71"/>
      <c r="M39" s="71"/>
      <c r="N39" s="71"/>
      <c r="O39" s="72"/>
    </row>
    <row r="40" spans="2:15" x14ac:dyDescent="0.25">
      <c r="B40" s="9"/>
      <c r="C40" s="65"/>
      <c r="D40" s="65"/>
      <c r="E40" s="65"/>
      <c r="F40" s="65"/>
      <c r="G40" s="65"/>
      <c r="H40" s="65"/>
      <c r="I40" s="10"/>
      <c r="K40" s="9"/>
      <c r="L40" s="66" t="s">
        <v>48</v>
      </c>
      <c r="M40" s="65"/>
      <c r="N40" s="65"/>
      <c r="O40" s="10"/>
    </row>
    <row r="41" spans="2:15" x14ac:dyDescent="0.25">
      <c r="B41" s="9"/>
      <c r="C41" s="65"/>
      <c r="D41" s="65"/>
      <c r="E41" s="65"/>
      <c r="F41" s="65"/>
      <c r="G41" s="65"/>
      <c r="H41" s="65"/>
      <c r="I41" s="10"/>
      <c r="K41" s="9"/>
      <c r="L41" s="65"/>
      <c r="M41" s="65"/>
      <c r="N41" s="65"/>
      <c r="O41" s="10"/>
    </row>
    <row r="42" spans="2:15" x14ac:dyDescent="0.25">
      <c r="B42" s="9"/>
      <c r="C42" s="65"/>
      <c r="D42" s="65"/>
      <c r="E42" s="65"/>
      <c r="F42" s="65"/>
      <c r="G42" s="65"/>
      <c r="H42" s="65"/>
      <c r="I42" s="10"/>
      <c r="K42" s="9"/>
      <c r="L42" s="65"/>
      <c r="M42" s="65"/>
      <c r="N42" s="65"/>
      <c r="O42" s="10"/>
    </row>
    <row r="43" spans="2:15" x14ac:dyDescent="0.25">
      <c r="B43" s="9"/>
      <c r="C43" s="65"/>
      <c r="D43" s="65"/>
      <c r="E43" s="65"/>
      <c r="F43" s="65"/>
      <c r="G43" s="65"/>
      <c r="H43" s="65"/>
      <c r="I43" s="10"/>
      <c r="K43" s="9"/>
      <c r="L43" s="65"/>
      <c r="M43" s="65"/>
      <c r="N43" s="65"/>
      <c r="O43" s="10"/>
    </row>
    <row r="44" spans="2:15" x14ac:dyDescent="0.25">
      <c r="B44" s="9"/>
      <c r="C44" s="65"/>
      <c r="D44" s="65"/>
      <c r="E44" s="65"/>
      <c r="F44" s="65"/>
      <c r="G44" s="65"/>
      <c r="H44" s="65"/>
      <c r="I44" s="10"/>
      <c r="K44" s="9"/>
      <c r="L44" s="65"/>
      <c r="M44" s="65"/>
      <c r="N44" s="65"/>
      <c r="O44" s="10"/>
    </row>
    <row r="45" spans="2:15" x14ac:dyDescent="0.25">
      <c r="B45" s="9"/>
      <c r="C45" s="65"/>
      <c r="D45" s="65"/>
      <c r="E45" s="65"/>
      <c r="F45" s="65"/>
      <c r="G45" s="65"/>
      <c r="H45" s="65"/>
      <c r="I45" s="10"/>
      <c r="K45" s="9"/>
      <c r="L45" s="65"/>
      <c r="M45" s="65"/>
      <c r="N45" s="65"/>
      <c r="O45" s="10"/>
    </row>
    <row r="46" spans="2:15" x14ac:dyDescent="0.25">
      <c r="B46" s="11"/>
      <c r="C46" s="12"/>
      <c r="D46" s="12"/>
      <c r="E46" s="12"/>
      <c r="F46" s="12"/>
      <c r="G46" s="12"/>
      <c r="H46" s="12"/>
      <c r="I46" s="13"/>
      <c r="K46" s="11"/>
      <c r="L46" s="12"/>
      <c r="M46" s="12"/>
      <c r="N46" s="12"/>
      <c r="O46" s="13"/>
    </row>
  </sheetData>
  <mergeCells count="14">
    <mergeCell ref="K38:O38"/>
    <mergeCell ref="K39:O39"/>
    <mergeCell ref="A20:D21"/>
    <mergeCell ref="F20:I21"/>
    <mergeCell ref="D1:V1"/>
    <mergeCell ref="D4:I4"/>
    <mergeCell ref="D9:F9"/>
    <mergeCell ref="D11:F11"/>
    <mergeCell ref="D13:F13"/>
    <mergeCell ref="K18:N19"/>
    <mergeCell ref="M30:N32"/>
    <mergeCell ref="H30:I32"/>
    <mergeCell ref="C30:D32"/>
    <mergeCell ref="D15:F15"/>
  </mergeCells>
  <dataValidations disablePrompts="1" count="1">
    <dataValidation type="list" allowBlank="1" showInputMessage="1" showErrorMessage="1" sqref="K11" xr:uid="{838B04A3-1A31-409A-9481-953DA371ED1F}">
      <formula1>"Yes,No"</formula1>
    </dataValidation>
  </dataValidations>
  <hyperlinks>
    <hyperlink ref="L40" r:id="rId1" xr:uid="{3D11BB02-88C7-4EFE-AEF3-363339BB02EA}"/>
  </hyperlinks>
  <pageMargins left="0.7" right="0.7" top="0.75" bottom="0.75" header="0.3" footer="0.3"/>
  <pageSetup paperSize="9" orientation="landscape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634DD03C-DA73-4261-BB64-B93743886BBE}">
          <x14:formula1>
            <xm:f>Information!$C$4:$E$4</xm:f>
          </x14:formula1>
          <xm:sqref>K9</xm:sqref>
        </x14:dataValidation>
        <x14:dataValidation type="list" allowBlank="1" showInputMessage="1" showErrorMessage="1" xr:uid="{154A976B-2824-4825-A04F-1D9239D95064}">
          <x14:formula1>
            <xm:f>Information!$A$5:$A$19</xm:f>
          </x14:formula1>
          <xm:sqref>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88A3-53F2-4D99-93E5-4FAAC827EA0B}">
  <sheetPr codeName="Sheet2"/>
  <dimension ref="A2:R47"/>
  <sheetViews>
    <sheetView topLeftCell="A4" workbookViewId="0">
      <selection activeCell="K13" sqref="K13"/>
    </sheetView>
  </sheetViews>
  <sheetFormatPr defaultRowHeight="15" x14ac:dyDescent="0.25"/>
  <cols>
    <col min="1" max="1" width="15.140625" customWidth="1"/>
    <col min="2" max="2" width="14.28515625" bestFit="1" customWidth="1"/>
    <col min="3" max="5" width="12.7109375" bestFit="1" customWidth="1"/>
    <col min="8" max="9" width="10" bestFit="1" customWidth="1"/>
  </cols>
  <sheetData>
    <row r="2" spans="1:18" x14ac:dyDescent="0.25">
      <c r="A2" t="s">
        <v>35</v>
      </c>
      <c r="F2" s="24" t="s">
        <v>36</v>
      </c>
    </row>
    <row r="4" spans="1:18" x14ac:dyDescent="0.25">
      <c r="A4" s="25" t="s">
        <v>8</v>
      </c>
      <c r="B4" s="25" t="s">
        <v>38</v>
      </c>
      <c r="C4" s="25" t="s">
        <v>32</v>
      </c>
      <c r="D4" s="25" t="s">
        <v>33</v>
      </c>
      <c r="E4" s="25" t="s">
        <v>34</v>
      </c>
      <c r="M4" s="35" t="s">
        <v>43</v>
      </c>
      <c r="N4" s="36"/>
      <c r="O4" s="36"/>
      <c r="P4" s="36"/>
      <c r="Q4" s="36"/>
      <c r="R4" s="37"/>
    </row>
    <row r="5" spans="1:18" x14ac:dyDescent="0.25">
      <c r="A5" s="26" t="s">
        <v>9</v>
      </c>
      <c r="B5" s="27">
        <f t="shared" ref="B5:B17" si="0">E5/0.8</f>
        <v>467897.5</v>
      </c>
      <c r="C5" s="27">
        <v>187159</v>
      </c>
      <c r="D5" s="27">
        <v>280738</v>
      </c>
      <c r="E5" s="27">
        <v>374318</v>
      </c>
      <c r="M5" s="38"/>
      <c r="N5" s="39"/>
      <c r="O5" s="39"/>
      <c r="P5" s="39"/>
      <c r="Q5" s="39"/>
      <c r="R5" s="40"/>
    </row>
    <row r="6" spans="1:18" x14ac:dyDescent="0.25">
      <c r="A6" s="26" t="s">
        <v>10</v>
      </c>
      <c r="B6" s="27">
        <f t="shared" si="0"/>
        <v>429072.5</v>
      </c>
      <c r="C6" s="27">
        <v>171629</v>
      </c>
      <c r="D6" s="27">
        <v>257444</v>
      </c>
      <c r="E6" s="27">
        <v>343258</v>
      </c>
      <c r="M6" s="38"/>
      <c r="N6" s="39"/>
      <c r="O6" s="39"/>
      <c r="P6" s="39"/>
      <c r="Q6" s="39"/>
      <c r="R6" s="40"/>
    </row>
    <row r="7" spans="1:18" x14ac:dyDescent="0.25">
      <c r="A7" s="26" t="s">
        <v>11</v>
      </c>
      <c r="B7" s="27">
        <f t="shared" si="0"/>
        <v>494432.5</v>
      </c>
      <c r="C7" s="27">
        <v>197773</v>
      </c>
      <c r="D7" s="27">
        <v>296659</v>
      </c>
      <c r="E7" s="27">
        <v>395546</v>
      </c>
      <c r="M7" s="38"/>
      <c r="N7" s="39"/>
      <c r="O7" s="39"/>
      <c r="P7" s="39"/>
      <c r="Q7" s="39"/>
      <c r="R7" s="40"/>
    </row>
    <row r="8" spans="1:18" x14ac:dyDescent="0.25">
      <c r="A8" s="26" t="s">
        <v>13</v>
      </c>
      <c r="B8" s="27">
        <f t="shared" si="0"/>
        <v>508097.5</v>
      </c>
      <c r="C8" s="27">
        <v>203239</v>
      </c>
      <c r="D8" s="27">
        <v>304859</v>
      </c>
      <c r="E8" s="27">
        <v>406478</v>
      </c>
      <c r="M8" s="38"/>
      <c r="N8" s="39"/>
      <c r="O8" s="39"/>
      <c r="P8" s="39"/>
      <c r="Q8" s="39"/>
      <c r="R8" s="40"/>
    </row>
    <row r="9" spans="1:18" x14ac:dyDescent="0.25">
      <c r="A9" s="26" t="s">
        <v>12</v>
      </c>
      <c r="B9" s="27">
        <f t="shared" si="0"/>
        <v>483440</v>
      </c>
      <c r="C9" s="27">
        <v>193376</v>
      </c>
      <c r="D9" s="27">
        <v>290064</v>
      </c>
      <c r="E9" s="27">
        <v>386752</v>
      </c>
      <c r="M9" s="38"/>
      <c r="N9" s="39"/>
      <c r="O9" s="39"/>
      <c r="P9" s="39"/>
      <c r="Q9" s="39"/>
      <c r="R9" s="40"/>
    </row>
    <row r="10" spans="1:18" x14ac:dyDescent="0.25">
      <c r="A10" s="26" t="s">
        <v>14</v>
      </c>
      <c r="B10" s="27">
        <f t="shared" si="0"/>
        <v>520271.25</v>
      </c>
      <c r="C10" s="27">
        <v>208108</v>
      </c>
      <c r="D10" s="27">
        <v>312163</v>
      </c>
      <c r="E10" s="27">
        <v>416217</v>
      </c>
      <c r="M10" s="38"/>
      <c r="N10" s="39"/>
      <c r="O10" s="39"/>
      <c r="P10" s="39"/>
      <c r="Q10" s="39"/>
      <c r="R10" s="40"/>
    </row>
    <row r="11" spans="1:18" x14ac:dyDescent="0.25">
      <c r="A11" s="26" t="s">
        <v>15</v>
      </c>
      <c r="B11" s="27">
        <f t="shared" si="0"/>
        <v>579486.25</v>
      </c>
      <c r="C11" s="27">
        <v>231794</v>
      </c>
      <c r="D11" s="27">
        <v>347692</v>
      </c>
      <c r="E11" s="27">
        <v>463589</v>
      </c>
      <c r="M11" s="38"/>
      <c r="N11" s="39"/>
      <c r="O11" s="39"/>
      <c r="P11" s="39"/>
      <c r="Q11" s="39"/>
      <c r="R11" s="40"/>
    </row>
    <row r="12" spans="1:18" x14ac:dyDescent="0.25">
      <c r="A12" s="26" t="s">
        <v>16</v>
      </c>
      <c r="B12" s="27">
        <f t="shared" si="0"/>
        <v>609517.5</v>
      </c>
      <c r="C12" s="27">
        <v>243807</v>
      </c>
      <c r="D12" s="27">
        <v>265711</v>
      </c>
      <c r="E12" s="27">
        <v>487614</v>
      </c>
      <c r="M12" s="38"/>
      <c r="N12" s="39"/>
      <c r="O12" s="39"/>
      <c r="P12" s="39"/>
      <c r="Q12" s="39"/>
      <c r="R12" s="40"/>
    </row>
    <row r="13" spans="1:18" x14ac:dyDescent="0.25">
      <c r="A13" s="26" t="s">
        <v>17</v>
      </c>
      <c r="B13" s="27">
        <f t="shared" si="0"/>
        <v>661728.75</v>
      </c>
      <c r="C13" s="27">
        <v>264692</v>
      </c>
      <c r="D13" s="27">
        <v>397037</v>
      </c>
      <c r="E13" s="27">
        <v>529383</v>
      </c>
      <c r="M13" s="38"/>
      <c r="N13" s="39"/>
      <c r="O13" s="39"/>
      <c r="P13" s="39"/>
      <c r="Q13" s="39"/>
      <c r="R13" s="40"/>
    </row>
    <row r="14" spans="1:18" x14ac:dyDescent="0.25">
      <c r="A14" s="26" t="s">
        <v>18</v>
      </c>
      <c r="B14" s="27">
        <f t="shared" si="0"/>
        <v>700317.5</v>
      </c>
      <c r="C14" s="27">
        <v>280127</v>
      </c>
      <c r="D14" s="27">
        <v>420190</v>
      </c>
      <c r="E14" s="27">
        <v>560254</v>
      </c>
      <c r="M14" s="38"/>
      <c r="N14" s="39"/>
      <c r="O14" s="39"/>
      <c r="P14" s="39"/>
      <c r="Q14" s="39"/>
      <c r="R14" s="40"/>
    </row>
    <row r="15" spans="1:18" x14ac:dyDescent="0.25">
      <c r="A15" s="26" t="s">
        <v>19</v>
      </c>
      <c r="B15" s="27">
        <f t="shared" si="0"/>
        <v>741602.5</v>
      </c>
      <c r="C15" s="27">
        <v>296641</v>
      </c>
      <c r="D15" s="27">
        <v>444962</v>
      </c>
      <c r="E15" s="27">
        <v>593282</v>
      </c>
      <c r="M15" s="38"/>
      <c r="N15" s="39"/>
      <c r="O15" s="39"/>
      <c r="P15" s="39"/>
      <c r="Q15" s="39"/>
      <c r="R15" s="40"/>
    </row>
    <row r="16" spans="1:18" x14ac:dyDescent="0.25">
      <c r="A16" s="26" t="s">
        <v>20</v>
      </c>
      <c r="B16" s="27">
        <f t="shared" si="0"/>
        <v>718071.25</v>
      </c>
      <c r="C16" s="27">
        <v>287228</v>
      </c>
      <c r="D16" s="27">
        <v>430843</v>
      </c>
      <c r="E16" s="27">
        <v>574457</v>
      </c>
      <c r="M16" s="38"/>
      <c r="N16" s="39"/>
      <c r="O16" s="39"/>
      <c r="P16" s="39"/>
      <c r="Q16" s="39"/>
      <c r="R16" s="40"/>
    </row>
    <row r="17" spans="1:18" x14ac:dyDescent="0.25">
      <c r="A17" s="26" t="s">
        <v>21</v>
      </c>
      <c r="B17" s="27">
        <f t="shared" si="0"/>
        <v>750607.5</v>
      </c>
      <c r="C17" s="28">
        <v>300243</v>
      </c>
      <c r="D17" s="28">
        <v>450365</v>
      </c>
      <c r="E17" s="28">
        <v>600486</v>
      </c>
      <c r="M17" s="38"/>
      <c r="N17" s="39"/>
      <c r="O17" s="39"/>
      <c r="P17" s="39"/>
      <c r="Q17" s="39"/>
      <c r="R17" s="40"/>
    </row>
    <row r="18" spans="1:18" x14ac:dyDescent="0.25">
      <c r="A18" s="26" t="s">
        <v>22</v>
      </c>
      <c r="B18" s="27">
        <f>E18/0.8</f>
        <v>777342.5</v>
      </c>
      <c r="C18" s="27">
        <v>310937</v>
      </c>
      <c r="D18" s="27">
        <v>466406</v>
      </c>
      <c r="E18" s="27">
        <v>621874</v>
      </c>
      <c r="M18" s="38"/>
      <c r="N18" s="39"/>
      <c r="O18" s="39"/>
      <c r="P18" s="39"/>
      <c r="Q18" s="39"/>
      <c r="R18" s="40"/>
    </row>
    <row r="19" spans="1:18" x14ac:dyDescent="0.25">
      <c r="A19" s="26" t="s">
        <v>37</v>
      </c>
      <c r="B19" s="27">
        <v>1005398</v>
      </c>
      <c r="C19" s="27">
        <v>402159</v>
      </c>
      <c r="D19" s="27">
        <v>603238</v>
      </c>
      <c r="E19" s="27">
        <v>804318</v>
      </c>
      <c r="M19" s="38"/>
      <c r="N19" s="39"/>
      <c r="O19" s="39"/>
      <c r="P19" s="39"/>
      <c r="Q19" s="39"/>
      <c r="R19" s="40"/>
    </row>
    <row r="20" spans="1:18" x14ac:dyDescent="0.25">
      <c r="A20" s="15"/>
      <c r="M20" s="38"/>
      <c r="N20" s="39"/>
      <c r="O20" s="39"/>
      <c r="P20" s="39"/>
      <c r="Q20" s="39"/>
      <c r="R20" s="40"/>
    </row>
    <row r="21" spans="1:18" x14ac:dyDescent="0.25">
      <c r="A21" s="15"/>
      <c r="M21" s="38"/>
      <c r="N21" s="39"/>
      <c r="O21" s="39"/>
      <c r="P21" s="39"/>
      <c r="Q21" s="39"/>
      <c r="R21" s="40"/>
    </row>
    <row r="22" spans="1:18" x14ac:dyDescent="0.25">
      <c r="A22" s="15"/>
      <c r="M22" s="38"/>
      <c r="N22" s="39"/>
      <c r="O22" s="39"/>
      <c r="P22" s="39"/>
      <c r="Q22" s="39"/>
      <c r="R22" s="40"/>
    </row>
    <row r="23" spans="1:18" x14ac:dyDescent="0.25">
      <c r="M23" s="38"/>
      <c r="N23" s="39"/>
      <c r="O23" s="39"/>
      <c r="P23" s="39"/>
      <c r="Q23" s="39"/>
      <c r="R23" s="40"/>
    </row>
    <row r="24" spans="1:18" x14ac:dyDescent="0.25">
      <c r="M24" s="38"/>
      <c r="N24" s="39"/>
      <c r="O24" s="39"/>
      <c r="P24" s="39"/>
      <c r="Q24" s="39"/>
      <c r="R24" s="40"/>
    </row>
    <row r="25" spans="1:18" x14ac:dyDescent="0.25">
      <c r="M25" s="38"/>
      <c r="N25" s="39"/>
      <c r="O25" s="39"/>
      <c r="P25" s="39"/>
      <c r="Q25" s="39"/>
      <c r="R25" s="40"/>
    </row>
    <row r="26" spans="1:18" x14ac:dyDescent="0.25">
      <c r="M26" s="38"/>
      <c r="N26" s="39"/>
      <c r="O26" s="39"/>
      <c r="P26" s="39"/>
      <c r="Q26" s="39"/>
      <c r="R26" s="40"/>
    </row>
    <row r="27" spans="1:18" x14ac:dyDescent="0.25">
      <c r="M27" s="38"/>
      <c r="N27" s="39"/>
      <c r="O27" s="39"/>
      <c r="P27" s="39"/>
      <c r="Q27" s="39"/>
      <c r="R27" s="40"/>
    </row>
    <row r="28" spans="1:18" x14ac:dyDescent="0.25">
      <c r="M28" s="38"/>
      <c r="N28" s="39"/>
      <c r="O28" s="39"/>
      <c r="P28" s="39"/>
      <c r="Q28" s="39"/>
      <c r="R28" s="40"/>
    </row>
    <row r="29" spans="1:18" x14ac:dyDescent="0.25">
      <c r="M29" s="38"/>
      <c r="N29" s="39"/>
      <c r="O29" s="39"/>
      <c r="P29" s="39"/>
      <c r="Q29" s="39"/>
      <c r="R29" s="40"/>
    </row>
    <row r="30" spans="1:18" x14ac:dyDescent="0.25">
      <c r="M30" s="38"/>
      <c r="N30" s="39"/>
      <c r="O30" s="39"/>
      <c r="P30" s="39"/>
      <c r="Q30" s="39"/>
      <c r="R30" s="40"/>
    </row>
    <row r="31" spans="1:18" x14ac:dyDescent="0.25">
      <c r="M31" s="38"/>
      <c r="N31" s="39"/>
      <c r="O31" s="39"/>
      <c r="P31" s="39"/>
      <c r="Q31" s="39"/>
      <c r="R31" s="40"/>
    </row>
    <row r="32" spans="1:18" x14ac:dyDescent="0.25">
      <c r="M32" s="38"/>
      <c r="N32" s="39"/>
      <c r="O32" s="39"/>
      <c r="P32" s="39"/>
      <c r="Q32" s="39"/>
      <c r="R32" s="40"/>
    </row>
    <row r="33" spans="13:18" x14ac:dyDescent="0.25">
      <c r="M33" s="38"/>
      <c r="N33" s="39"/>
      <c r="O33" s="39"/>
      <c r="P33" s="39"/>
      <c r="Q33" s="39"/>
      <c r="R33" s="40"/>
    </row>
    <row r="34" spans="13:18" x14ac:dyDescent="0.25">
      <c r="M34" s="38"/>
      <c r="N34" s="39"/>
      <c r="O34" s="39"/>
      <c r="P34" s="39"/>
      <c r="Q34" s="39"/>
      <c r="R34" s="40"/>
    </row>
    <row r="35" spans="13:18" x14ac:dyDescent="0.25">
      <c r="M35" s="38"/>
      <c r="N35" s="39"/>
      <c r="O35" s="39"/>
      <c r="P35" s="39"/>
      <c r="Q35" s="39"/>
      <c r="R35" s="40"/>
    </row>
    <row r="36" spans="13:18" x14ac:dyDescent="0.25">
      <c r="M36" s="38"/>
      <c r="N36" s="39"/>
      <c r="O36" s="39"/>
      <c r="P36" s="39"/>
      <c r="Q36" s="39"/>
      <c r="R36" s="40"/>
    </row>
    <row r="37" spans="13:18" x14ac:dyDescent="0.25">
      <c r="M37" s="38"/>
      <c r="N37" s="39"/>
      <c r="O37" s="39"/>
      <c r="P37" s="39"/>
      <c r="Q37" s="39"/>
      <c r="R37" s="40"/>
    </row>
    <row r="38" spans="13:18" x14ac:dyDescent="0.25">
      <c r="M38" s="38"/>
      <c r="N38" s="39"/>
      <c r="O38" s="39"/>
      <c r="P38" s="39"/>
      <c r="Q38" s="39"/>
      <c r="R38" s="40"/>
    </row>
    <row r="39" spans="13:18" x14ac:dyDescent="0.25">
      <c r="M39" s="38"/>
      <c r="N39" s="39"/>
      <c r="O39" s="39"/>
      <c r="P39" s="39"/>
      <c r="Q39" s="39"/>
      <c r="R39" s="40"/>
    </row>
    <row r="40" spans="13:18" x14ac:dyDescent="0.25">
      <c r="M40" s="38"/>
      <c r="N40" s="39"/>
      <c r="O40" s="39"/>
      <c r="P40" s="39"/>
      <c r="Q40" s="39"/>
      <c r="R40" s="40"/>
    </row>
    <row r="41" spans="13:18" x14ac:dyDescent="0.25">
      <c r="M41" s="38"/>
      <c r="N41" s="39"/>
      <c r="O41" s="39"/>
      <c r="P41" s="39"/>
      <c r="Q41" s="39"/>
      <c r="R41" s="40"/>
    </row>
    <row r="42" spans="13:18" x14ac:dyDescent="0.25">
      <c r="M42" s="38"/>
      <c r="N42" s="39"/>
      <c r="O42" s="39"/>
      <c r="P42" s="39"/>
      <c r="Q42" s="39"/>
      <c r="R42" s="40"/>
    </row>
    <row r="43" spans="13:18" x14ac:dyDescent="0.25">
      <c r="M43" s="38"/>
      <c r="N43" s="39"/>
      <c r="O43" s="39"/>
      <c r="P43" s="39"/>
      <c r="Q43" s="39"/>
      <c r="R43" s="40"/>
    </row>
    <row r="44" spans="13:18" x14ac:dyDescent="0.25">
      <c r="M44" s="38"/>
      <c r="N44" s="39"/>
      <c r="O44" s="39"/>
      <c r="P44" s="39"/>
      <c r="Q44" s="39"/>
      <c r="R44" s="40"/>
    </row>
    <row r="45" spans="13:18" x14ac:dyDescent="0.25">
      <c r="M45" s="38"/>
      <c r="N45" s="39"/>
      <c r="O45" s="39"/>
      <c r="P45" s="39"/>
      <c r="Q45" s="39"/>
      <c r="R45" s="40"/>
    </row>
    <row r="46" spans="13:18" x14ac:dyDescent="0.25">
      <c r="M46" s="38"/>
      <c r="N46" s="39"/>
      <c r="O46" s="39"/>
      <c r="P46" s="39"/>
      <c r="Q46" s="39"/>
      <c r="R46" s="40"/>
    </row>
    <row r="47" spans="13:18" x14ac:dyDescent="0.25">
      <c r="M47" s="41"/>
      <c r="N47" s="42"/>
      <c r="O47" s="42"/>
      <c r="P47" s="42"/>
      <c r="Q47" s="42"/>
      <c r="R47" s="43"/>
    </row>
  </sheetData>
  <mergeCells count="1">
    <mergeCell ref="M4:R47"/>
  </mergeCells>
  <phoneticPr fontId="4" type="noConversion"/>
  <hyperlinks>
    <hyperlink ref="F2" r:id="rId1" xr:uid="{400B360C-00B1-48E9-A7C2-73D6C5A032A7}"/>
  </hyperlinks>
  <pageMargins left="0.7" right="0.7" top="0.75" bottom="0.75" header="0.3" footer="0.3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Comparison Rate DHOAS</vt:lpstr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EDITOR</cp:lastModifiedBy>
  <cp:lastPrinted>2023-07-04T05:43:59Z</cp:lastPrinted>
  <dcterms:created xsi:type="dcterms:W3CDTF">2023-04-13T05:11:42Z</dcterms:created>
  <dcterms:modified xsi:type="dcterms:W3CDTF">2023-07-04T05:50:55Z</dcterms:modified>
</cp:coreProperties>
</file>